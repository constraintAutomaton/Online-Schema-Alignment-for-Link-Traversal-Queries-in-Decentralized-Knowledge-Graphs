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mes" sheetId="1" state="visible" r:id="rId1"/>
    <sheet name="nresult" sheetId="2" state="visible" r:id="rId2"/>
    <sheet name="nreq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<sst xmlns="http://schemas.openxmlformats.org/spreadsheetml/2006/main" count="13" uniqueCount="13">
  <si>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TIMEOUT</t>
  </si>
  <si>
    <t>alignment</t>
  </si>
  <si>
    <t>Queries</t>
  </si>
  <si>
    <t xml:space="preserve">request the messages of liked users</t>
  </si>
  <si>
    <t xml:space="preserve">request the forums a user posted</t>
  </si>
  <si>
    <t xml:space="preserve">request the information of a user</t>
  </si>
  <si>
    <t xml:space="preserve">requests the post of a user</t>
  </si>
  <si>
    <t xml:space="preserve">request the distrubution of tags used by a user</t>
  </si>
  <si>
    <t>Normal</t>
  </si>
  <si>
    <t xml:space="preserve">avg dif</t>
  </si>
  <si>
    <t>median</t>
  </si>
  <si>
    <t>std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</si>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</sst>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1" activeCellId="0" sqref="A1"/>
    </sheetView>
  </sheetViews>
  <sheetFormatPr defaultRowHeight="14.25"/>
  <cols>
    <col bestFit="1" min="2" max="2" width="40.6015625"/>
  </cols>
  <sheetData>
    <row r="1" ht="14.25">
      <c r="A1" t="s">
        <v>0</v>
      </c>
    </row>
    <row r="4" ht="14.25">
      <c r="B4" t="s">
        <v>1</v>
      </c>
    </row>
    <row r="5" ht="14.25">
      <c r="B5" t="s">
        <v>2</v>
      </c>
    </row>
    <row r="6" ht="14.25">
      <c r="B6" t="s">
        <v>3</v>
      </c>
      <c r="C6">
        <v>4.7000000000000002</v>
      </c>
      <c r="D6">
        <v>4.7999999999999998</v>
      </c>
      <c r="E6">
        <v>5.9000000000000004</v>
      </c>
      <c r="F6">
        <v>8.5</v>
      </c>
      <c r="G6">
        <v>7.7000000000000002</v>
      </c>
      <c r="H6">
        <v>7.4000000000000004</v>
      </c>
      <c r="I6">
        <v>8.1999999999999993</v>
      </c>
      <c r="J6">
        <v>5.7999999999999998</v>
      </c>
      <c r="K6">
        <v>6.9000000000000004</v>
      </c>
      <c r="L6">
        <v>9.0999999999999996</v>
      </c>
    </row>
    <row r="7" ht="14.25">
      <c r="B7" t="s">
        <v>4</v>
      </c>
      <c r="C7" t="str">
        <f>A1</f>
        <v>TIMEOUT</v>
      </c>
    </row>
    <row r="8" ht="14.25">
      <c r="B8" t="s">
        <v>5</v>
      </c>
      <c r="C8">
        <v>1.2</v>
      </c>
      <c r="D8">
        <v>1.1000000000000001</v>
      </c>
      <c r="E8">
        <v>1</v>
      </c>
      <c r="F8">
        <v>1.1000000000000001</v>
      </c>
      <c r="G8">
        <v>1.2</v>
      </c>
      <c r="H8">
        <v>1.1000000000000001</v>
      </c>
      <c r="I8">
        <v>1</v>
      </c>
      <c r="J8">
        <v>1.1000000000000001</v>
      </c>
      <c r="K8">
        <v>1</v>
      </c>
      <c r="L8">
        <v>1.1000000000000001</v>
      </c>
    </row>
    <row r="9" ht="14.25">
      <c r="B9" t="s">
        <v>6</v>
      </c>
      <c r="C9">
        <v>0.40000000000000002</v>
      </c>
      <c r="D9">
        <v>0.29999999999999999</v>
      </c>
      <c r="E9">
        <v>0.29999999999999999</v>
      </c>
      <c r="F9">
        <v>0.40000000000000002</v>
      </c>
      <c r="G9">
        <v>0.40000000000000002</v>
      </c>
      <c r="H9">
        <v>0.40000000000000002</v>
      </c>
      <c r="I9">
        <v>0.40000000000000002</v>
      </c>
      <c r="J9">
        <v>0.29999999999999999</v>
      </c>
      <c r="K9">
        <v>0.29999999999999999</v>
      </c>
      <c r="L9">
        <v>0.29999999999999999</v>
      </c>
    </row>
    <row r="10" ht="14.25">
      <c r="B10" t="s">
        <v>7</v>
      </c>
      <c r="C10">
        <v>2.7999999999999998</v>
      </c>
      <c r="D10">
        <v>2.5</v>
      </c>
      <c r="E10">
        <v>2.5</v>
      </c>
      <c r="F10">
        <v>2.5</v>
      </c>
      <c r="G10">
        <v>2.6000000000000001</v>
      </c>
      <c r="H10">
        <v>2.8999999999999999</v>
      </c>
      <c r="I10">
        <v>2.7999999999999998</v>
      </c>
      <c r="J10">
        <v>2.8999999999999999</v>
      </c>
      <c r="K10">
        <v>3.1000000000000001</v>
      </c>
      <c r="L10">
        <v>3.1000000000000001</v>
      </c>
    </row>
    <row r="16" ht="14.25">
      <c r="B16" t="s">
        <v>8</v>
      </c>
    </row>
    <row r="17" ht="14.25">
      <c r="B17" s="1" t="str">
        <f t="shared" ref="B17:B21" si="0">B5</f>
        <v>Queries</v>
      </c>
    </row>
    <row r="18" ht="14.25">
      <c r="B18" t="str">
        <f t="shared" si="0"/>
        <v xml:space="preserve">request the messages of liked users</v>
      </c>
      <c r="C18" t="str">
        <f>A1</f>
        <v>TIMEOUT</v>
      </c>
      <c r="D18" t="str">
        <f>A1</f>
        <v>TIMEOUT</v>
      </c>
      <c r="E18" t="str">
        <f>A1</f>
        <v>TIMEOUT</v>
      </c>
      <c r="F18" t="str">
        <f>A1</f>
        <v>TIMEOUT</v>
      </c>
      <c r="G18" t="str">
        <f>A1</f>
        <v>TIMEOUT</v>
      </c>
      <c r="H18" t="str">
        <f>A1</f>
        <v>TIMEOUT</v>
      </c>
      <c r="I18" t="str">
        <f>A1</f>
        <v>TIMEOUT</v>
      </c>
      <c r="J18" t="str">
        <f>A1</f>
        <v>TIMEOUT</v>
      </c>
      <c r="K18" t="str">
        <f>A1</f>
        <v>TIMEOUT</v>
      </c>
      <c r="L18" t="str">
        <f>A1</f>
        <v>TIMEOUT</v>
      </c>
    </row>
    <row r="19" ht="14.25">
      <c r="B19" t="str">
        <f t="shared" si="0"/>
        <v xml:space="preserve">request the forums a user posted</v>
      </c>
      <c r="C19" t="str">
        <f>A1</f>
        <v>TIMEOUT</v>
      </c>
      <c r="D19" t="str">
        <f>A1</f>
        <v>TIMEOUT</v>
      </c>
      <c r="E19" t="str">
        <f>A1</f>
        <v>TIMEOUT</v>
      </c>
      <c r="F19" t="str">
        <f>A1</f>
        <v>TIMEOUT</v>
      </c>
      <c r="G19" t="str">
        <f>A1</f>
        <v>TIMEOUT</v>
      </c>
      <c r="H19" t="str">
        <f>A1</f>
        <v>TIMEOUT</v>
      </c>
      <c r="I19" t="str">
        <f>A1</f>
        <v>TIMEOUT</v>
      </c>
      <c r="J19" t="str">
        <f>A1</f>
        <v>TIMEOUT</v>
      </c>
      <c r="K19" t="str">
        <f>A1</f>
        <v>TIMEOUT</v>
      </c>
      <c r="L19" t="str">
        <f>A1</f>
        <v>TIMEOUT</v>
      </c>
      <c r="O19" t="s">
        <v>9</v>
      </c>
      <c r="P19">
        <f>AVERAGE(C31:L33)</f>
        <v>0.28333333333333327</v>
      </c>
    </row>
    <row r="20" ht="14.25">
      <c r="B20" t="str">
        <f t="shared" si="0"/>
        <v xml:space="preserve">request the information of a user</v>
      </c>
      <c r="C20">
        <v>1</v>
      </c>
      <c r="D20">
        <v>1</v>
      </c>
      <c r="E20">
        <v>1.1000000000000001</v>
      </c>
      <c r="F20">
        <v>1.1000000000000001</v>
      </c>
      <c r="G20">
        <v>1</v>
      </c>
      <c r="H20">
        <v>1.1000000000000001</v>
      </c>
      <c r="I20">
        <v>1.1000000000000001</v>
      </c>
      <c r="J20">
        <v>1.1000000000000001</v>
      </c>
      <c r="K20">
        <v>1</v>
      </c>
      <c r="L20">
        <v>1</v>
      </c>
      <c r="O20" t="s">
        <v>10</v>
      </c>
      <c r="P20">
        <f>MEDIAN(C31:L33)</f>
        <v>0.19999999999999996</v>
      </c>
    </row>
    <row r="21" ht="14.25">
      <c r="B21" t="str">
        <f t="shared" si="0"/>
        <v xml:space="preserve">requests the post of a user</v>
      </c>
      <c r="C21">
        <v>0.20000000000000001</v>
      </c>
      <c r="D21">
        <v>0.20000000000000001</v>
      </c>
      <c r="E21">
        <v>0.20000000000000001</v>
      </c>
      <c r="F21">
        <v>0.20000000000000001</v>
      </c>
      <c r="G21">
        <v>0.20000000000000001</v>
      </c>
      <c r="H21">
        <v>0.20000000000000001</v>
      </c>
      <c r="I21">
        <v>0.20000000000000001</v>
      </c>
      <c r="J21">
        <v>0.20000000000000001</v>
      </c>
      <c r="K21">
        <v>0.20000000000000001</v>
      </c>
      <c r="L21">
        <v>0.20000000000000001</v>
      </c>
      <c r="O21" t="s">
        <v>11</v>
      </c>
      <c r="P21">
        <f>STDEV(C31:L33)</f>
        <v>0.30747394992918908</v>
      </c>
    </row>
    <row r="22" ht="14.25">
      <c r="B22" t="str">
        <f>B10</f>
        <v xml:space="preserve">request the distrubution of tags used by a user</v>
      </c>
      <c r="C22">
        <v>1.8999999999999999</v>
      </c>
      <c r="D22">
        <v>1.8</v>
      </c>
      <c r="E22">
        <v>1.7</v>
      </c>
      <c r="F22">
        <v>1.8999999999999999</v>
      </c>
      <c r="G22">
        <v>2.2000000000000002</v>
      </c>
      <c r="H22">
        <v>2.2000000000000002</v>
      </c>
      <c r="I22">
        <v>2.6000000000000001</v>
      </c>
      <c r="J22">
        <v>2.2000000000000002</v>
      </c>
      <c r="K22">
        <v>2.3999999999999999</v>
      </c>
      <c r="L22">
        <v>2.2000000000000002</v>
      </c>
    </row>
    <row r="27" ht="14.25">
      <c r="B27" t="s">
        <v>12</v>
      </c>
    </row>
    <row r="28" ht="14.25">
      <c r="B28" t="str">
        <f>B5</f>
        <v>Queries</v>
      </c>
    </row>
    <row r="29" ht="14.25">
      <c r="B29" t="str">
        <f>B6</f>
        <v xml:space="preserve">request the messages of liked users</v>
      </c>
      <c r="C29" t="e">
        <f>C6-C18</f>
        <v>#VALUE!</v>
      </c>
      <c r="D29" t="e">
        <f>D6-D18</f>
        <v>#VALUE!</v>
      </c>
      <c r="E29" t="e">
        <f>E6-E18</f>
        <v>#VALUE!</v>
      </c>
      <c r="F29" t="e">
        <f>F6-F18</f>
        <v>#VALUE!</v>
      </c>
      <c r="G29" t="e">
        <f>G6-G18</f>
        <v>#VALUE!</v>
      </c>
      <c r="H29" t="e">
        <f>H6-H18</f>
        <v>#VALUE!</v>
      </c>
      <c r="I29" t="e">
        <f>I6-I18</f>
        <v>#VALUE!</v>
      </c>
      <c r="J29" t="e">
        <f>J6-J18</f>
        <v>#VALUE!</v>
      </c>
      <c r="K29" t="e">
        <f>K6-K18</f>
        <v>#VALUE!</v>
      </c>
      <c r="L29" t="e">
        <f>L6-L18</f>
        <v>#VALUE!</v>
      </c>
    </row>
    <row r="30" ht="14.25">
      <c r="B30" t="str">
        <f>B7</f>
        <v xml:space="preserve">request the forums a user posted</v>
      </c>
      <c r="C30" t="e">
        <f>C7-C19</f>
        <v>#VALUE!</v>
      </c>
      <c r="D30" t="e">
        <f>D7-D19</f>
        <v>#VALUE!</v>
      </c>
      <c r="E30" t="e">
        <f>E7-E19</f>
        <v>#VALUE!</v>
      </c>
      <c r="F30" t="e">
        <f>F7-F19</f>
        <v>#VALUE!</v>
      </c>
      <c r="G30" t="e">
        <f>G7-G19</f>
        <v>#VALUE!</v>
      </c>
      <c r="H30" t="e">
        <f>H7-H19</f>
        <v>#VALUE!</v>
      </c>
      <c r="I30" t="e">
        <f>I7-I19</f>
        <v>#VALUE!</v>
      </c>
      <c r="J30" t="e">
        <f>J7-J19</f>
        <v>#VALUE!</v>
      </c>
      <c r="K30" t="e">
        <f>K7-K19</f>
        <v>#VALUE!</v>
      </c>
      <c r="L30" t="e">
        <f>L7-L19</f>
        <v>#VALUE!</v>
      </c>
    </row>
    <row r="31" ht="14.25">
      <c r="B31" t="str">
        <f>B8</f>
        <v xml:space="preserve">request the information of a user</v>
      </c>
      <c r="C31">
        <f>C8-C20</f>
        <v>0.19999999999999996</v>
      </c>
      <c r="D31">
        <f>D8-D20</f>
        <v>0.10000000000000009</v>
      </c>
      <c r="E31">
        <f>E8-E20</f>
        <v>-0.10000000000000009</v>
      </c>
      <c r="F31">
        <f>F8-F20</f>
        <v>0</v>
      </c>
      <c r="G31">
        <f>G8-G20</f>
        <v>0.19999999999999996</v>
      </c>
      <c r="H31">
        <f>H8-H20</f>
        <v>0</v>
      </c>
      <c r="I31">
        <f>I8-I20</f>
        <v>-0.10000000000000009</v>
      </c>
      <c r="J31">
        <f>J8-J20</f>
        <v>0</v>
      </c>
      <c r="K31">
        <f>K8-K20</f>
        <v>0</v>
      </c>
      <c r="L31">
        <f>L8-L20</f>
        <v>0.10000000000000009</v>
      </c>
    </row>
    <row r="32" ht="14.25">
      <c r="B32" t="str">
        <f>B9</f>
        <v xml:space="preserve">requests the post of a user</v>
      </c>
      <c r="C32">
        <f>C9-C21</f>
        <v>0.20000000000000001</v>
      </c>
      <c r="D32">
        <f>D9-D21</f>
        <v>0.099999999999999978</v>
      </c>
      <c r="E32">
        <f>E9-E21</f>
        <v>0.099999999999999978</v>
      </c>
      <c r="F32">
        <f>F9-F21</f>
        <v>0.20000000000000001</v>
      </c>
      <c r="G32">
        <f>G9-G21</f>
        <v>0.20000000000000001</v>
      </c>
      <c r="H32">
        <f>H9-H21</f>
        <v>0.20000000000000001</v>
      </c>
      <c r="I32">
        <f>I9-I21</f>
        <v>0.20000000000000001</v>
      </c>
      <c r="J32">
        <f>J9-J21</f>
        <v>0.099999999999999978</v>
      </c>
      <c r="K32">
        <f>K9-K21</f>
        <v>0.099999999999999978</v>
      </c>
      <c r="L32">
        <f>L9-L21</f>
        <v>0.099999999999999978</v>
      </c>
    </row>
    <row r="33" ht="14.25">
      <c r="B33" t="str">
        <f>B10</f>
        <v xml:space="preserve">request the distrubution of tags used by a user</v>
      </c>
      <c r="C33">
        <f>C10-C22</f>
        <v>0.89999999999999991</v>
      </c>
      <c r="D33">
        <f>D10-D22</f>
        <v>0.69999999999999996</v>
      </c>
      <c r="E33">
        <f>E10-E22</f>
        <v>0.80000000000000004</v>
      </c>
      <c r="F33">
        <f>F10-F22</f>
        <v>0.60000000000000009</v>
      </c>
      <c r="G33">
        <f>G10-G22</f>
        <v>0.39999999999999991</v>
      </c>
      <c r="H33">
        <f>H10-H22</f>
        <v>0.69999999999999973</v>
      </c>
      <c r="I33">
        <f>I10-I22</f>
        <v>0.19999999999999973</v>
      </c>
      <c r="J33">
        <f>J10-J22</f>
        <v>0.69999999999999973</v>
      </c>
      <c r="K33">
        <f>K10-K22</f>
        <v>0.70000000000000018</v>
      </c>
      <c r="L33">
        <f>L10-L22</f>
        <v>0.89999999999999991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40.6015625"/>
  </cols>
  <sheetData>
    <row r="4">
      <c r="B4" t="str">
        <f>times!B4</f>
        <v>alignment</v>
      </c>
    </row>
    <row r="5">
      <c r="B5" t="str">
        <f>times!B5</f>
        <v>Queries</v>
      </c>
    </row>
    <row r="6">
      <c r="B6" t="str">
        <f>times!B6</f>
        <v xml:space="preserve">request the messages of liked users</v>
      </c>
      <c r="C6">
        <v>10</v>
      </c>
    </row>
    <row r="7">
      <c r="B7" t="str">
        <f>times!B7</f>
        <v xml:space="preserve">request the forums a user posted</v>
      </c>
      <c r="C7" t="str">
        <f>times!A1</f>
        <v>TIMEOUT</v>
      </c>
    </row>
    <row r="8">
      <c r="B8" t="str">
        <f>times!B8</f>
        <v xml:space="preserve">request the information of a user</v>
      </c>
      <c r="C8">
        <v>1</v>
      </c>
    </row>
    <row r="9">
      <c r="B9" t="str">
        <f>times!B9</f>
        <v xml:space="preserve">requests the post of a user</v>
      </c>
      <c r="C9">
        <v>2</v>
      </c>
    </row>
    <row r="10">
      <c r="B10" t="str">
        <f>times!B10</f>
        <v xml:space="preserve">request the distrubution of tags used by a user</v>
      </c>
      <c r="C10">
        <v>71</v>
      </c>
    </row>
    <row r="16">
      <c r="B16" t="str">
        <f>times!B16</f>
        <v>Normal</v>
      </c>
    </row>
    <row r="17">
      <c r="B17" t="str">
        <f>times!B17</f>
        <v>Queries</v>
      </c>
    </row>
    <row r="18">
      <c r="B18" t="str">
        <f>times!B18</f>
        <v xml:space="preserve">request the messages of liked users</v>
      </c>
      <c r="C18" t="str">
        <f>times!C18</f>
        <v>TIMEOUT</v>
      </c>
    </row>
    <row r="19">
      <c r="B19" t="str">
        <f>times!B19</f>
        <v xml:space="preserve">request the forums a user posted</v>
      </c>
      <c r="C19" t="str">
        <f>times!A1</f>
        <v>TIMEOUT</v>
      </c>
    </row>
    <row r="20">
      <c r="B20" t="str">
        <f>times!B20</f>
        <v xml:space="preserve">request the information of a user</v>
      </c>
      <c r="C20">
        <v>1</v>
      </c>
    </row>
    <row r="21">
      <c r="B21" t="str">
        <f>times!B21</f>
        <v xml:space="preserve">requests the post of a user</v>
      </c>
      <c r="C21">
        <v>0</v>
      </c>
    </row>
    <row r="22">
      <c r="B22" t="str">
        <f>times!B22</f>
        <v xml:space="preserve">request the distrubution of tags used by a user</v>
      </c>
      <c r="C22">
        <v>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40.6015625"/>
  </cols>
  <sheetData>
    <row r="5" ht="14.25">
      <c r="B5" t="str">
        <f>nresult!B4</f>
        <v>alignment</v>
      </c>
    </row>
    <row r="6" ht="14.25">
      <c r="B6" t="str">
        <f>nresult!B5</f>
        <v>Queries</v>
      </c>
    </row>
    <row r="7" ht="14.25">
      <c r="B7" t="str">
        <f>nresult!B6</f>
        <v xml:space="preserve">request the messages of liked users</v>
      </c>
      <c r="C7">
        <v>286</v>
      </c>
    </row>
    <row r="8" ht="14.25">
      <c r="B8" t="str">
        <f>nresult!B7</f>
        <v xml:space="preserve">request the forums a user posted</v>
      </c>
      <c r="C8" t="str">
        <f>times!A1</f>
        <v>TIMEOUT</v>
      </c>
    </row>
    <row r="9" ht="14.25">
      <c r="B9" t="str">
        <f>nresult!B8</f>
        <v xml:space="preserve">request the information of a user</v>
      </c>
      <c r="C9">
        <v>137</v>
      </c>
    </row>
    <row r="10" ht="14.25">
      <c r="B10" t="str">
        <f>nresult!B9</f>
        <v xml:space="preserve">requests the post of a user</v>
      </c>
      <c r="C10">
        <v>52</v>
      </c>
    </row>
    <row r="11" ht="14.25">
      <c r="B11" t="str">
        <f>nresult!B10</f>
        <v xml:space="preserve">request the distrubution of tags used by a user</v>
      </c>
      <c r="C11">
        <v>386</v>
      </c>
    </row>
    <row r="17" ht="14.25">
      <c r="B17" t="str">
        <f>nresult!B16</f>
        <v>Normal</v>
      </c>
    </row>
    <row r="18" ht="14.25">
      <c r="B18" t="str">
        <f>nresult!B17</f>
        <v>Queries</v>
      </c>
    </row>
    <row r="19" ht="14.25">
      <c r="B19" t="str">
        <f>nresult!B18</f>
        <v xml:space="preserve">request the messages of liked users</v>
      </c>
      <c r="C19" t="str">
        <f>times!C18</f>
        <v>TIMEOUT</v>
      </c>
    </row>
    <row r="20" ht="14.25">
      <c r="B20" t="str">
        <f>nresult!B19</f>
        <v xml:space="preserve">request the forums a user posted</v>
      </c>
      <c r="C20" t="str">
        <f>times!A1</f>
        <v>TIMEOUT</v>
      </c>
    </row>
    <row r="21" ht="14.25">
      <c r="B21" t="str">
        <f>nresult!B20</f>
        <v xml:space="preserve">request the information of a user</v>
      </c>
      <c r="C21">
        <v>137</v>
      </c>
    </row>
    <row r="22" ht="14.25">
      <c r="B22" t="str">
        <f>nresult!B21</f>
        <v xml:space="preserve">requests the post of a user</v>
      </c>
      <c r="C22">
        <v>52</v>
      </c>
    </row>
    <row r="23" ht="14.25">
      <c r="B23" t="str">
        <f>nresult!B22</f>
        <v xml:space="preserve">request the distrubution of tags used by a user</v>
      </c>
      <c r="C23">
        <v>386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2026-02-18T12:55:27Z</dcterms:modified>
</cp:coreProperties>
</file>